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FastSearch\"/>
    </mc:Choice>
  </mc:AlternateContent>
  <xr:revisionPtr revIDLastSave="0" documentId="13_ncr:1_{65687926-84C2-4456-8FFF-8B8EE6D6C314}" xr6:coauthVersionLast="47" xr6:coauthVersionMax="47" xr10:uidLastSave="{00000000-0000-0000-0000-000000000000}"/>
  <bookViews>
    <workbookView xWindow="-118" yWindow="-118" windowWidth="25370" windowHeight="13759" activeTab="0" xr2:uid="{41083ADE-4FB0-41CB-BAE0-E8EAA2182407}" firstSheet="0"/>
  </bookViews>
  <sheets>
    <sheet name="Current memory" sheetId="5" r:id="rId9"/>
    <sheet name="Current latency" sheetId="6" r:id="rId10"/>
    <sheet name="Algorithm guide" sheetId="7" r:id="rId11"/>
    <sheet name="Index" sheetId="2" r:id="rId1"/>
    <sheet name="Search" sheetId="1" r:id="rId2"/>
    <sheet name="Speed" sheetId="4" r:id="rId3"/>
    <sheet name="Optimization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4" l="1"/>
  <c r="F6" i="4"/>
  <c r="F5" i="4"/>
  <c r="F4" i="4"/>
  <c r="C6" i="1"/>
  <c r="C5" i="1"/>
  <c r="C4" i="1"/>
  <c r="C3" i="1"/>
</calcChain>
</file>

<file path=xl/sharedStrings.xml><?xml version="1.0" encoding="utf-8"?>
<sst xmlns="http://schemas.openxmlformats.org/spreadsheetml/2006/main" count="42" uniqueCount="17">
  <si>
    <t>Character Sequence</t>
  </si>
  <si>
    <t>String Contains</t>
  </si>
  <si>
    <t>LINQ</t>
  </si>
  <si>
    <t>Hash</t>
  </si>
  <si>
    <t>Algorithm</t>
  </si>
  <si>
    <t>Speed</t>
  </si>
  <si>
    <t>Case Insensitive</t>
  </si>
  <si>
    <t>X</t>
  </si>
  <si>
    <t>Binary Search</t>
  </si>
  <si>
    <t>Parallel Indexing</t>
  </si>
  <si>
    <t>Parallel Search</t>
  </si>
  <si>
    <t>Hashing</t>
  </si>
  <si>
    <t>Data Structure</t>
  </si>
  <si>
    <r>
      <t xml:space="preserve">Index Speed (ns) </t>
    </r>
    <r>
      <rPr>
        <b/>
        <vertAlign val="superscript"/>
        <sz val="11"/>
        <color theme="1"/>
        <rFont val="Calibri"/>
        <family val="2"/>
        <scheme val="minor"/>
      </rPr>
      <t>*</t>
    </r>
  </si>
  <si>
    <r>
      <t xml:space="preserve">Search Speed (ms) </t>
    </r>
    <r>
      <rPr>
        <b/>
        <vertAlign val="superscript"/>
        <sz val="11"/>
        <color theme="1"/>
        <rFont val="Calibri"/>
        <family val="2"/>
        <scheme val="minor"/>
      </rPr>
      <t>**</t>
    </r>
  </si>
  <si>
    <r>
      <rPr>
        <vertAlign val="superscript"/>
        <sz val="9"/>
        <color theme="1"/>
        <rFont val="Calibri"/>
        <family val="2"/>
        <scheme val="minor"/>
      </rPr>
      <t>*</t>
    </r>
    <r>
      <rPr>
        <sz val="9"/>
        <color theme="1"/>
        <rFont val="Calibri"/>
        <family val="2"/>
        <scheme val="minor"/>
      </rPr>
      <t xml:space="preserve"> Time taken to index 10000 items</t>
    </r>
  </si>
  <si>
    <r>
      <rPr>
        <vertAlign val="superscript"/>
        <sz val="9"/>
        <color theme="1"/>
        <rFont val="Calibri"/>
        <family val="2"/>
        <scheme val="minor"/>
      </rPr>
      <t>**</t>
    </r>
    <r>
      <rPr>
        <sz val="9"/>
        <color theme="1"/>
        <rFont val="Calibri"/>
        <family val="2"/>
        <scheme val="minor"/>
      </rPr>
      <t xml:space="preserve"> Time taken to perform 10000 searches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</si>
</sst>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"/>
    <numFmt numFmtId="165" formatCode="#,##0.00"/>
    <numFmt numFmtId="166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sz val="11"/>
      <name val="Carlito"/>
    </font>
    <font>
      <sz val="10"/>
      <color rgb="FF222222"/>
      <name val="Arial"/>
    </font>
    <font>
      <b/>
      <sz val="14"/>
      <color rgb="FF222222"/>
      <name val="Arial"/>
    </font>
    <font>
      <i/>
      <sz val="10"/>
      <color rgb="FF555555"/>
      <name val="Arial"/>
    </font>
    <font>
      <b/>
      <sz val="10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none"/>
    </fill>
    <fill>
      <patternFill patternType="gray125"/>
    </fill>
    <fill>
      <patternFill patternType="solid">
        <fgColor rgb="FF285B83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/>
      <diagonal/>
    </border>
    <border>
      <left/>
      <right/>
      <top/>
      <bottom style="thin">
        <color rgb="FF285B83"/>
      </bottom>
      <diagonal/>
    </border>
    <border>
      <left/>
      <right/>
      <top style="thin">
        <color rgb="FFCCD7E0"/>
      </top>
      <bottom/>
      <diagonal/>
    </border>
  </borders>
  <cellStyleXfs count="2">
    <xf numFmtId="0" fontId="0" fillId="0" borderId="0"/>
    <xf numFmtId="0" fontId="6" fillId="4" borderId="8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4" fillId="0" borderId="0" xfId="0" applyFont="1" applyAlignment="1">
      <alignment horizontal="left"/>
    </xf>
    <xf numFmtId="0" fontId="6" fillId="4" borderId="8" xfId="1"/>
    <xf numFmtId="0" fontId="7" fillId="4" borderId="8" xfId="1" applyNumberFormat="1" applyFont="1" applyFill="1" applyBorder="1"/>
    <xf numFmtId="0" fontId="7" fillId="4" borderId="8" xfId="1" applyNumberFormat="1" applyFont="1" applyFill="1" applyBorder="1" applyAlignment="1">
      <alignment vertical="center"/>
    </xf>
    <xf numFmtId="0" fontId="8" fillId="4" borderId="8" xfId="1" applyNumberFormat="1" applyFont="1" applyFill="1" applyBorder="1" applyAlignment="1">
      <alignment vertical="center"/>
    </xf>
    <xf numFmtId="0" fontId="7" fillId="4" borderId="9" xfId="1" applyNumberFormat="1" applyFont="1" applyFill="1" applyBorder="1" applyAlignment="1">
      <alignment vertical="center"/>
    </xf>
    <xf numFmtId="0" fontId="9" fillId="4" borderId="8" xfId="1" applyNumberFormat="1" applyFont="1" applyFill="1" applyBorder="1" applyAlignment="1">
      <alignment vertical="center"/>
    </xf>
    <xf numFmtId="0" fontId="7" fillId="6" borderId="8" xfId="1" applyNumberFormat="1" applyFont="1" applyFill="1" applyBorder="1" applyAlignment="1">
      <alignment vertical="center"/>
    </xf>
    <xf numFmtId="0" fontId="10" fillId="6" borderId="8" xfId="1" applyNumberFormat="1" applyFont="1" applyFill="1" applyBorder="1" applyAlignment="1">
      <alignment vertical="center"/>
    </xf>
    <xf numFmtId="0" fontId="10" fillId="6" borderId="8" xfId="1" applyNumberFormat="1" applyFont="1" applyFill="1" applyBorder="1" applyAlignment="1">
      <alignment vertical="center" wrapText="1"/>
    </xf>
    <xf numFmtId="0" fontId="10" fillId="6" borderId="8" xfId="1" applyNumberFormat="1" applyFont="1" applyFill="1" applyBorder="1" applyAlignment="1">
      <alignment horizontal="center" vertical="center" wrapText="1"/>
    </xf>
    <xf numFmtId="0" fontId="7" fillId="4" borderId="10" xfId="1" applyNumberFormat="1" applyFont="1" applyFill="1" applyBorder="1" applyAlignment="1">
      <alignment vertical="center"/>
    </xf>
    <xf numFmtId="164" fontId="7" fillId="4" borderId="10" xfId="1" applyNumberFormat="1" applyFont="1" applyFill="1" applyBorder="1" applyAlignment="1">
      <alignment vertical="center"/>
    </xf>
    <xf numFmtId="164" fontId="7" fillId="4" borderId="8" xfId="1" applyNumberFormat="1" applyFont="1" applyFill="1" applyBorder="1" applyAlignment="1">
      <alignment vertical="center"/>
    </xf>
    <xf numFmtId="165" fontId="7" fillId="4" borderId="10" xfId="1" applyNumberFormat="1" applyFont="1" applyFill="1" applyBorder="1" applyAlignment="1">
      <alignment vertical="center"/>
    </xf>
    <xf numFmtId="165" fontId="7" fillId="4" borderId="8" xfId="1" applyNumberFormat="1" applyFont="1" applyFill="1" applyBorder="1" applyAlignment="1">
      <alignment vertical="center"/>
    </xf>
    <xf numFmtId="166" fontId="7" fillId="4" borderId="10" xfId="1" applyNumberFormat="1" applyFont="1" applyFill="1" applyBorder="1" applyAlignment="1">
      <alignment vertical="center"/>
    </xf>
    <xf numFmtId="166" fontId="7" fillId="4" borderId="8" xfId="1" applyNumberFormat="1" applyFont="1" applyFill="1" applyBorder="1" applyAlignment="1">
      <alignment vertical="center"/>
    </xf>
    <xf numFmtId="0" fontId="7" fillId="4" borderId="10" xfId="1" applyNumberFormat="1" applyFont="1" applyFill="1" applyBorder="1" applyAlignment="1">
      <alignment vertical="center" wrapText="1"/>
    </xf>
    <xf numFmtId="0" fontId="7" fillId="4" borderId="8" xfId="1" applyNumberFormat="1" applyFont="1" applyFill="1" applyBorder="1" applyAlignment="1">
      <alignment vertical="center" wrapText="1"/>
    </xf>
    <xf numFmtId="0" fontId="6" fillId="6" borderId="8" xfId="1" applyNumberFormat="1" applyFont="1" applyFill="1" applyBorder="1"/>
    <xf numFmtId="0" fontId="10" fillId="6" borderId="8" xfId="1" applyNumberFormat="1" applyFont="1" applyFill="1" applyBorder="1"/>
    <xf numFmtId="0" fontId="7" fillId="4" borderId="8" xfId="1" applyNumberFormat="1" applyFont="1" applyFill="1" applyBorder="1" applyAlignment="1">
      <alignment wrapText="1"/>
    </xf>
    <xf numFmtId="0" fontId="6" fillId="4" borderId="8" xfId="1" applyNumberFormat="1" applyFont="1" applyFill="1" applyBorder="1" applyAlignment="1">
      <alignment wrapText="1"/>
    </xf>
    <xf numFmtId="0" fontId="6" fillId="4" borderId="8" xfId="1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/xl/worksheets/sheet5.xml"/><Relationship Id="rId10" Type="http://schemas.openxmlformats.org/officeDocument/2006/relationships/worksheet" Target="/xl/worksheets/sheet6.xml"/><Relationship Id="rId11" Type="http://schemas.openxmlformats.org/officeDocument/2006/relationships/worksheet" Target="/xl/worksheets/sheet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Index Performance</a:t>
            </a:r>
          </a:p>
          <a:p>
            <a:pPr>
              <a:defRPr/>
            </a:pPr>
            <a:r>
              <a:rPr lang="en-US"/>
              <a:t>(small bars are better)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Index!$B$3:$B$6</c:f>
              <c:strCache>
                <c:ptCount val="4"/>
                <c:pt idx="0">
                  <c:v>String Contains</c:v>
                </c:pt>
                <c:pt idx="1">
                  <c:v>LINQ</c:v>
                </c:pt>
                <c:pt idx="2">
                  <c:v>Hash</c:v>
                </c:pt>
                <c:pt idx="3">
                  <c:v>Character Sequence</c:v>
                </c:pt>
              </c:strCache>
            </c:strRef>
          </c:cat>
          <c:val>
            <c:numRef>
              <c:f>Index!$C$3:$C$6</c:f>
              <c:numCache>
                <c:formatCode>General</c:formatCode>
                <c:ptCount val="4"/>
                <c:pt idx="0">
                  <c:v>8500</c:v>
                </c:pt>
                <c:pt idx="1">
                  <c:v>562600</c:v>
                </c:pt>
                <c:pt idx="2">
                  <c:v>418222700</c:v>
                </c:pt>
                <c:pt idx="3">
                  <c:v>233939800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AE-4E18-8911-1349AAB8EC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2352688"/>
        <c:axId val="482342704"/>
      </c:barChart>
      <c:catAx>
        <c:axId val="48235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342704"/>
        <c:crosses val="autoZero"/>
        <c:auto val="1"/>
        <c:lblAlgn val="ctr"/>
        <c:lblOffset val="100"/>
        <c:noMultiLvlLbl val="0"/>
      </c:catAx>
      <c:valAx>
        <c:axId val="482342704"/>
        <c:scaling>
          <c:orientation val="minMax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8235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Search Performance</a:t>
            </a:r>
          </a:p>
          <a:p>
            <a:pPr>
              <a:defRPr/>
            </a:pPr>
            <a:r>
              <a:rPr lang="en-US"/>
              <a:t>(small bars are better)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Search!$B$3:$B$6</c:f>
              <c:strCache>
                <c:ptCount val="4"/>
                <c:pt idx="0">
                  <c:v>String Contains</c:v>
                </c:pt>
                <c:pt idx="1">
                  <c:v>LINQ</c:v>
                </c:pt>
                <c:pt idx="2">
                  <c:v>Hash</c:v>
                </c:pt>
                <c:pt idx="3">
                  <c:v>Character Sequence</c:v>
                </c:pt>
              </c:strCache>
            </c:strRef>
          </c:cat>
          <c:val>
            <c:numRef>
              <c:f>Search!$C$3:$C$6</c:f>
              <c:numCache>
                <c:formatCode>General</c:formatCode>
                <c:ptCount val="4"/>
                <c:pt idx="0">
                  <c:v>4188.83</c:v>
                </c:pt>
                <c:pt idx="1">
                  <c:v>1280.3</c:v>
                </c:pt>
                <c:pt idx="2">
                  <c:v>3.66</c:v>
                </c:pt>
                <c:pt idx="3">
                  <c:v>3.39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7C-4EA9-A08D-BD1F9548E8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2352688"/>
        <c:axId val="482342704"/>
      </c:barChart>
      <c:catAx>
        <c:axId val="48235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342704"/>
        <c:crosses val="autoZero"/>
        <c:auto val="1"/>
        <c:lblAlgn val="ctr"/>
        <c:lblOffset val="100"/>
        <c:noMultiLvlLbl val="0"/>
      </c:catAx>
      <c:valAx>
        <c:axId val="482342704"/>
        <c:scaling>
          <c:orientation val="minMax"/>
          <c:max val="4200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8235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169026</xdr:colOff>
      <xdr:row>1</xdr:row>
      <xdr:rowOff>45718</xdr:rowOff>
    </xdr:from>
    <xdr:to>
      <xdr:col>17</xdr:col>
      <xdr:colOff>2771</xdr:colOff>
      <xdr:row>29</xdr:row>
      <xdr:rowOff>101135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06585E-4988-4854-A16D-750770B9EB2F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169026</xdr:colOff>
      <xdr:row>1</xdr:row>
      <xdr:rowOff>45718</xdr:rowOff>
    </xdr:from>
    <xdr:to>
      <xdr:col>17</xdr:col>
      <xdr:colOff>2772</xdr:colOff>
      <xdr:row>29</xdr:row>
      <xdr:rowOff>101135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46D87B-A96F-48B2-97B8-8C1BF70878BD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70838-0BB0-4E11-B1B0-AA91BED5A158}">
  <dimension ref="B2:C6"/>
  <sheetViews>
    <sheetView zoomScale="90" zoomScaleNormal="90" workbookViewId="0">
      <selection activeCell="C3" sqref="C3:C6"/>
    </sheetView>
  </sheetViews>
  <sheetFormatPr defaultRowHeight="15.05" x14ac:dyDescent="0.3"/>
  <cols>
    <col min="2" max="2" width="16.33203125" style="1" bestFit="1" customWidth="1"/>
    <col min="3" max="3" width="10" style="1" bestFit="1" customWidth="1"/>
  </cols>
  <sheetData>
    <row r="2" spans="2:3" x14ac:dyDescent="0.3">
      <c r="B2" s="2" t="s">
        <v>4</v>
      </c>
      <c r="C2" s="2" t="s">
        <v>5</v>
      </c>
    </row>
    <row r="3" spans="2:3" x14ac:dyDescent="0.3">
      <c r="B3" s="1" t="s">
        <v>1</v>
      </c>
      <c r="C3" s="1">
        <v>8500</v>
      </c>
    </row>
    <row r="4" spans="2:3" x14ac:dyDescent="0.3">
      <c r="B4" s="1" t="s">
        <v>2</v>
      </c>
      <c r="C4" s="1">
        <v>562600</v>
      </c>
    </row>
    <row r="5" spans="2:3" x14ac:dyDescent="0.3">
      <c r="B5" s="1" t="s">
        <v>3</v>
      </c>
      <c r="C5" s="1">
        <v>418222700</v>
      </c>
    </row>
    <row r="6" spans="2:3" x14ac:dyDescent="0.3">
      <c r="B6" s="1" t="s">
        <v>0</v>
      </c>
      <c r="C6" s="1">
        <v>233939800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EFD3E-C063-46EC-AB68-BDECE41F5626}">
  <dimension ref="B2:C6"/>
  <sheetViews>
    <sheetView zoomScale="90" zoomScaleNormal="90" workbookViewId="0">
      <selection activeCell="B2" sqref="B2:C6"/>
    </sheetView>
  </sheetViews>
  <sheetFormatPr defaultRowHeight="15.05" x14ac:dyDescent="0.3"/>
  <cols>
    <col min="2" max="2" width="16.33203125" style="1" bestFit="1" customWidth="1"/>
    <col min="3" max="3" width="8.88671875" style="1"/>
  </cols>
  <sheetData>
    <row r="2" spans="2:3" x14ac:dyDescent="0.3">
      <c r="B2" s="2" t="s">
        <v>4</v>
      </c>
      <c r="C2" s="2" t="s">
        <v>5</v>
      </c>
    </row>
    <row r="3" spans="2:3" x14ac:dyDescent="0.3">
      <c r="B3" s="1" t="s">
        <v>1</v>
      </c>
      <c r="C3" s="1">
        <f>ROUND(4188.8305,2)</f>
        <v>4188.83</v>
      </c>
    </row>
    <row r="4" spans="2:3" x14ac:dyDescent="0.3">
      <c r="B4" s="1" t="s">
        <v>2</v>
      </c>
      <c r="C4" s="1">
        <f>ROUND(1280.3043,2)</f>
        <v>1280.3</v>
      </c>
    </row>
    <row r="5" spans="2:3" x14ac:dyDescent="0.3">
      <c r="B5" s="1" t="s">
        <v>3</v>
      </c>
      <c r="C5" s="1">
        <f>ROUND(3.6639,2)</f>
        <v>3.66</v>
      </c>
    </row>
    <row r="6" spans="2:3" x14ac:dyDescent="0.3">
      <c r="B6" s="1" t="s">
        <v>0</v>
      </c>
      <c r="C6" s="1">
        <f>ROUND(3.3907,2)</f>
        <v>3.39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06B48-F887-4F0D-9658-5F662F921878}">
  <dimension ref="D3:F10"/>
  <sheetViews>
    <sheetView tabSelected="1" workbookViewId="0">
      <selection activeCell="D3" sqref="D3:F10"/>
    </sheetView>
  </sheetViews>
  <sheetFormatPr defaultRowHeight="15.05" x14ac:dyDescent="0.3"/>
  <cols>
    <col min="4" max="4" width="18.77734375" customWidth="1"/>
    <col min="5" max="5" width="17.77734375" style="1" customWidth="1"/>
    <col min="6" max="6" width="17.77734375" customWidth="1"/>
  </cols>
  <sheetData>
    <row r="3" spans="4:6" ht="16.399999999999999" x14ac:dyDescent="0.3">
      <c r="D3" s="2" t="s">
        <v>4</v>
      </c>
      <c r="E3" s="2" t="s">
        <v>13</v>
      </c>
      <c r="F3" s="2" t="s">
        <v>14</v>
      </c>
    </row>
    <row r="4" spans="4:6" x14ac:dyDescent="0.3">
      <c r="D4" s="1" t="s">
        <v>1</v>
      </c>
      <c r="E4" s="1">
        <v>8500</v>
      </c>
      <c r="F4" s="1">
        <f>ROUND(4188.8305,2)</f>
        <v>4188.83</v>
      </c>
    </row>
    <row r="5" spans="4:6" x14ac:dyDescent="0.3">
      <c r="D5" s="1" t="s">
        <v>2</v>
      </c>
      <c r="E5" s="1">
        <v>562600</v>
      </c>
      <c r="F5" s="1">
        <f>ROUND(1280.3043,2)</f>
        <v>1280.3</v>
      </c>
    </row>
    <row r="6" spans="4:6" x14ac:dyDescent="0.3">
      <c r="D6" s="1" t="s">
        <v>3</v>
      </c>
      <c r="E6" s="1">
        <v>418222700</v>
      </c>
      <c r="F6" s="1">
        <f>ROUND(3.6639,2)</f>
        <v>3.66</v>
      </c>
    </row>
    <row r="7" spans="4:6" x14ac:dyDescent="0.3">
      <c r="D7" s="1" t="s">
        <v>0</v>
      </c>
      <c r="E7" s="1">
        <v>233939800</v>
      </c>
      <c r="F7" s="1">
        <f>ROUND(3.3907,2)</f>
        <v>3.39</v>
      </c>
    </row>
    <row r="9" spans="4:6" x14ac:dyDescent="0.3">
      <c r="D9" s="15" t="s">
        <v>15</v>
      </c>
    </row>
    <row r="10" spans="4:6" x14ac:dyDescent="0.3">
      <c r="D10" s="15" t="s">
        <v>16</v>
      </c>
    </row>
  </sheetData>
  <conditionalFormatting sqref="F4:F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:E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3F449-342B-4AA7-92C4-D18F796CABBB}">
  <dimension ref="B3:F9"/>
  <sheetViews>
    <sheetView workbookViewId="0">
      <selection activeCell="E20" sqref="E20"/>
    </sheetView>
  </sheetViews>
  <sheetFormatPr defaultRowHeight="15.05" x14ac:dyDescent="0.3"/>
  <cols>
    <col min="2" max="2" width="14.109375" bestFit="1" customWidth="1"/>
    <col min="3" max="6" width="16.77734375" style="1" customWidth="1"/>
  </cols>
  <sheetData>
    <row r="3" spans="2:6" ht="15.75" thickBot="1" x14ac:dyDescent="0.35">
      <c r="C3" s="2" t="s">
        <v>1</v>
      </c>
      <c r="D3" s="2" t="s">
        <v>2</v>
      </c>
      <c r="E3" s="2" t="s">
        <v>3</v>
      </c>
      <c r="F3" s="2" t="s">
        <v>0</v>
      </c>
    </row>
    <row r="4" spans="2:6" x14ac:dyDescent="0.3">
      <c r="B4" s="3" t="s">
        <v>6</v>
      </c>
      <c r="C4" s="4"/>
      <c r="D4" s="7" t="s">
        <v>7</v>
      </c>
      <c r="E4" s="7" t="s">
        <v>7</v>
      </c>
      <c r="F4" s="9" t="s">
        <v>7</v>
      </c>
    </row>
    <row r="5" spans="2:6" x14ac:dyDescent="0.3">
      <c r="B5" s="3" t="s">
        <v>8</v>
      </c>
      <c r="C5" s="5"/>
      <c r="D5" s="5"/>
      <c r="E5" s="13" t="s">
        <v>7</v>
      </c>
      <c r="F5" s="10"/>
    </row>
    <row r="6" spans="2:6" x14ac:dyDescent="0.3">
      <c r="B6" s="3" t="s">
        <v>9</v>
      </c>
      <c r="C6" s="5"/>
      <c r="D6" s="5"/>
      <c r="E6" s="13" t="s">
        <v>7</v>
      </c>
      <c r="F6" s="11" t="s">
        <v>7</v>
      </c>
    </row>
    <row r="7" spans="2:6" x14ac:dyDescent="0.3">
      <c r="B7" s="3" t="s">
        <v>11</v>
      </c>
      <c r="C7" s="14"/>
      <c r="D7" s="14"/>
      <c r="E7" s="13" t="s">
        <v>7</v>
      </c>
      <c r="F7" s="10"/>
    </row>
    <row r="8" spans="2:6" x14ac:dyDescent="0.3">
      <c r="B8" s="3" t="s">
        <v>12</v>
      </c>
      <c r="C8" s="14"/>
      <c r="D8" s="14"/>
      <c r="E8" s="13" t="s">
        <v>7</v>
      </c>
      <c r="F8" s="11" t="s">
        <v>7</v>
      </c>
    </row>
    <row r="9" spans="2:6" ht="15.75" thickBot="1" x14ac:dyDescent="0.35">
      <c r="B9" s="3" t="s">
        <v>10</v>
      </c>
      <c r="C9" s="6"/>
      <c r="D9" s="8" t="s">
        <v>7</v>
      </c>
      <c r="E9" s="8" t="s">
        <v>7</v>
      </c>
      <c r="F9" s="12"/>
    </row>
  </sheetData>
  <pageMargins left="0.7" right="0.7" top="0.75" bottom="0.75" header="0.3" footer="0.3"/>
  <pageSetup orientation="portrait" r:id="rId1"/>
</worksheet>
</file>

<file path=xl/worksheets/sheet5.xml><?xml version="1.0" encoding="utf-8"?>
<x:worksheet xmlns:x="http://schemas.openxmlformats.org/spreadsheetml/2006/main">
  <x:sheetPr>
    <x:tabColor rgb="FF285B83"/>
  </x:sheetPr>
  <x:sheetViews>
    <x:sheetView showGridLines="0" workbookViewId="0"/>
  </x:sheetViews>
  <x:sheetFormatPr defaultRowHeight="15"/>
  <x:cols>
    <x:col min="1" max="1" width="12.220000267028809" hidden="0" customWidth="1"/>
    <x:col min="2" max="2" width="20.559999465942383" hidden="0" customWidth="1"/>
    <x:col min="3" max="3" width="14.4399995803833" hidden="0" customWidth="1"/>
    <x:col min="4" max="4" width="17.219999313354492" hidden="0" customWidth="1"/>
    <x:col min="5" max="5" width="14.4399995803833" hidden="0" customWidth="1"/>
    <x:col min="6" max="6" width="23.329999923706055" hidden="0" customWidth="1"/>
  </x:cols>
  <x:sheetData>
    <x:row r="2">
      <x:c r="A2" s="19" t="str">
        <x:v>FastSearch memory and indexing</x:v>
      </x:c>
      <x:c r="B2" s="18"/>
      <x:c r="C2" s="18"/>
      <x:c r="D2" s="18"/>
      <x:c r="E2" s="18"/>
      <x:c r="F2" s="18"/>
    </x:row>
    <x:row r="3">
      <x:c r="A3" s="20"/>
      <x:c r="B3" s="20"/>
      <x:c r="C3" s="20"/>
      <x:c r="D3" s="20"/>
      <x:c r="E3" s="20"/>
      <x:c r="F3" s="20"/>
    </x:row>
    <x:row r="4">
      <x:c r="A4" s="21" t="str">
        <x:v>Published v1.1 results, .NET 10. Documentation updated 2026-10-12.</x:v>
      </x:c>
      <x:c r="B4" s="18"/>
      <x:c r="C4" s="18"/>
      <x:c r="D4" s="18"/>
      <x:c r="E4" s="18"/>
      <x:c r="F4" s="18"/>
    </x:row>
    <x:row r="5">
      <x:c r="A5" s="18"/>
      <x:c r="B5" s="18"/>
      <x:c r="C5" s="18"/>
      <x:c r="D5" s="18"/>
      <x:c r="E5" s="18"/>
      <x:c r="F5" s="18"/>
    </x:row>
    <x:row r="6" ht="32" customHeight="1">
      <x:c r="A6" s="25" t="str">
        <x:v>Items</x:v>
      </x:c>
      <x:c r="B6" s="25" t="str">
        <x:v>Algorithm</x:v>
      </x:c>
      <x:c r="C6" s="25" t="str">
        <x:v>Build (ms)</x:v>
      </x:c>
      <x:c r="D6" s="25" t="str">
        <x:v>Index heap (MiB)</x:v>
      </x:c>
      <x:c r="E6" s="25" t="str">
        <x:v>Bytes / char</x:v>
      </x:c>
      <x:c r="F6" s="25" t="str">
        <x:v>Heap after queries (MiB)</x:v>
      </x:c>
    </x:row>
    <x:row r="7" ht="24" customHeight="1">
      <x:c r="A7" s="27" t="n">
        <x:v>10000</x:v>
      </x:c>
      <x:c r="B7" s="26" t="str">
        <x:v>NGramSearch</x:v>
      </x:c>
      <x:c r="C7" s="27" t="n">
        <x:v>13</x:v>
      </x:c>
      <x:c r="D7" s="29" t="n">
        <x:v>0.92</x:v>
      </x:c>
      <x:c r="E7" s="31" t="n">
        <x:v>14.4</x:v>
      </x:c>
      <x:c r="F7" s="29" t="n">
        <x:v>0.92</x:v>
      </x:c>
    </x:row>
    <x:row r="8" ht="24" customHeight="1">
      <x:c r="A8" s="28" t="n">
        <x:v>10000</x:v>
      </x:c>
      <x:c r="B8" s="18" t="str">
        <x:v>SuffixArraySearch</x:v>
      </x:c>
      <x:c r="C8" s="28" t="n">
        <x:v>9</x:v>
      </x:c>
      <x:c r="D8" s="30" t="n">
        <x:v>1.1</x:v>
      </x:c>
      <x:c r="E8" s="32" t="n">
        <x:v>17.3</x:v>
      </x:c>
      <x:c r="F8" s="30" t="n">
        <x:v>1.51</x:v>
      </x:c>
    </x:row>
    <x:row r="9" ht="24" customHeight="1">
      <x:c r="A9" s="28" t="n">
        <x:v>10000</x:v>
      </x:c>
      <x:c r="B9" s="18" t="str">
        <x:v>CharSequenceSearch</x:v>
      </x:c>
      <x:c r="C9" s="28" t="n">
        <x:v>35</x:v>
      </x:c>
      <x:c r="D9" s="30" t="n">
        <x:v>26.1</x:v>
      </x:c>
      <x:c r="E9" s="32" t="n">
        <x:v>411.5</x:v>
      </x:c>
      <x:c r="F9" s="30" t="n">
        <x:v>26.1</x:v>
      </x:c>
    </x:row>
    <x:row r="10" ht="24" customHeight="1">
      <x:c r="A10" s="28" t="n">
        <x:v>10000</x:v>
      </x:c>
      <x:c r="B10" s="18" t="str">
        <x:v>HashSearch</x:v>
      </x:c>
      <x:c r="C10" s="28" t="n">
        <x:v>76</x:v>
      </x:c>
      <x:c r="D10" s="30" t="n">
        <x:v>29.93</x:v>
      </x:c>
      <x:c r="E10" s="32" t="n">
        <x:v>471.9</x:v>
      </x:c>
      <x:c r="F10" s="30" t="n">
        <x:v>29.94</x:v>
      </x:c>
    </x:row>
    <x:row r="11" ht="24" customHeight="1">
      <x:c r="A11" s="28" t="n">
        <x:v>10000</x:v>
      </x:c>
      <x:c r="B11" s="18" t="str">
        <x:v>LinqSearch</x:v>
      </x:c>
      <x:c r="C11" s="28" t="n">
        <x:v>2</x:v>
      </x:c>
      <x:c r="D11" s="30" t="n">
        <x:v>0.77</x:v>
      </x:c>
      <x:c r="E11" s="32" t="n">
        <x:v>12.2</x:v>
      </x:c>
      <x:c r="F11" s="30" t="n">
        <x:v>0.84</x:v>
      </x:c>
    </x:row>
    <x:row r="12" ht="24" customHeight="1">
      <x:c r="A12" s="28" t="n">
        <x:v>10000</x:v>
      </x:c>
      <x:c r="B12" s="18" t="str">
        <x:v>StringSearch</x:v>
      </x:c>
      <x:c r="C12" s="28" t="n">
        <x:v>0</x:v>
      </x:c>
      <x:c r="D12" s="30" t="n">
        <x:v>0</x:v>
      </x:c>
      <x:c r="E12" s="32" t="n">
        <x:v>0</x:v>
      </x:c>
      <x:c r="F12" s="30" t="n">
        <x:v>0</x:v>
      </x:c>
    </x:row>
    <x:row r="13" ht="24" customHeight="1">
      <x:c r="A13" s="27" t="n">
        <x:v>100000</x:v>
      </x:c>
      <x:c r="B13" s="26" t="str">
        <x:v>NGramSearch</x:v>
      </x:c>
      <x:c r="C13" s="27" t="n">
        <x:v>82</x:v>
      </x:c>
      <x:c r="D13" s="29" t="n">
        <x:v>4.73</x:v>
      </x:c>
      <x:c r="E13" s="31" t="n">
        <x:v>7.3</x:v>
      </x:c>
      <x:c r="F13" s="29" t="n">
        <x:v>4.74</x:v>
      </x:c>
    </x:row>
    <x:row r="14" ht="24" customHeight="1">
      <x:c r="A14" s="28" t="n">
        <x:v>100000</x:v>
      </x:c>
      <x:c r="B14" s="18" t="str">
        <x:v>SuffixArraySearch</x:v>
      </x:c>
      <x:c r="C14" s="28" t="n">
        <x:v>54</x:v>
      </x:c>
      <x:c r="D14" s="30" t="n">
        <x:v>8.2</x:v>
      </x:c>
      <x:c r="E14" s="32" t="n">
        <x:v>12.6</x:v>
      </x:c>
      <x:c r="F14" s="30" t="n">
        <x:v>14.35</x:v>
      </x:c>
    </x:row>
    <x:row r="15" ht="24" customHeight="1">
      <x:c r="A15" s="28" t="n">
        <x:v>100000</x:v>
      </x:c>
      <x:c r="B15" s="18" t="str">
        <x:v>CharSequenceSearch</x:v>
      </x:c>
      <x:c r="C15" s="28" t="n">
        <x:v>583</x:v>
      </x:c>
      <x:c r="D15" s="30" t="n">
        <x:v>187.45</x:v>
      </x:c>
      <x:c r="E15" s="32" t="n">
        <x:v>288.2</x:v>
      </x:c>
      <x:c r="F15" s="30" t="n">
        <x:v>187.45</x:v>
      </x:c>
    </x:row>
    <x:row r="16" ht="24" customHeight="1">
      <x:c r="A16" s="28" t="n">
        <x:v>100000</x:v>
      </x:c>
      <x:c r="B16" s="18" t="str">
        <x:v>HashSearch</x:v>
      </x:c>
      <x:c r="C16" s="28" t="n">
        <x:v>964</x:v>
      </x:c>
      <x:c r="D16" s="30" t="n">
        <x:v>215.01</x:v>
      </x:c>
      <x:c r="E16" s="32" t="n">
        <x:v>330.6</x:v>
      </x:c>
      <x:c r="F16" s="30" t="n">
        <x:v>215.02</x:v>
      </x:c>
    </x:row>
    <x:row r="17" ht="24" customHeight="1">
      <x:c r="A17" s="28" t="n">
        <x:v>100000</x:v>
      </x:c>
      <x:c r="B17" s="18" t="str">
        <x:v>LinqSearch</x:v>
      </x:c>
      <x:c r="C17" s="28" t="n">
        <x:v>4</x:v>
      </x:c>
      <x:c r="D17" s="30" t="n">
        <x:v>7.23</x:v>
      </x:c>
      <x:c r="E17" s="32" t="n">
        <x:v>11.1</x:v>
      </x:c>
      <x:c r="F17" s="30" t="n">
        <x:v>7.3</x:v>
      </x:c>
    </x:row>
    <x:row r="18" ht="24" customHeight="1">
      <x:c r="A18" s="28" t="n">
        <x:v>100000</x:v>
      </x:c>
      <x:c r="B18" s="18" t="str">
        <x:v>StringSearch</x:v>
      </x:c>
      <x:c r="C18" s="28" t="n">
        <x:v>0</x:v>
      </x:c>
      <x:c r="D18" s="30" t="n">
        <x:v>0</x:v>
      </x:c>
      <x:c r="E18" s="32" t="n">
        <x:v>0</x:v>
      </x:c>
      <x:c r="F18" s="30" t="n">
        <x:v>0</x:v>
      </x:c>
    </x:row>
    <x:row r="19" ht="24" customHeight="1">
      <x:c r="A19" s="27" t="n">
        <x:v>999998</x:v>
      </x:c>
      <x:c r="B19" s="26" t="str">
        <x:v>NGramSearch</x:v>
      </x:c>
      <x:c r="C19" s="27" t="n">
        <x:v>1180</x:v>
      </x:c>
      <x:c r="D19" s="29" t="n">
        <x:v>47.37</x:v>
      </x:c>
      <x:c r="E19" s="31" t="n">
        <x:v>6.6</x:v>
      </x:c>
      <x:c r="F19" s="29" t="n">
        <x:v>47.41</x:v>
      </x:c>
    </x:row>
    <x:row r="20" ht="24" customHeight="1">
      <x:c r="A20" s="28" t="n">
        <x:v>999998</x:v>
      </x:c>
      <x:c r="B20" s="18" t="str">
        <x:v>SuffixArraySearch</x:v>
      </x:c>
      <x:c r="C20" s="28" t="n">
        <x:v>637</x:v>
      </x:c>
      <x:c r="D20" s="30" t="n">
        <x:v>83.19</x:v>
      </x:c>
      <x:c r="E20" s="32" t="n">
        <x:v>11.6</x:v>
      </x:c>
      <x:c r="F20" s="30" t="n">
        <x:v>120.94</x:v>
      </x:c>
    </x:row>
    <x:row r="21" ht="24" customHeight="1">
      <x:c r="A21" s="28" t="n">
        <x:v>999998</x:v>
      </x:c>
      <x:c r="B21" s="18" t="str">
        <x:v>CharSequenceSearch</x:v>
      </x:c>
      <x:c r="C21" s="28" t="n">
        <x:v>12120</x:v>
      </x:c>
      <x:c r="D21" s="30" t="n">
        <x:v>1576.96</x:v>
      </x:c>
      <x:c r="E21" s="32" t="n">
        <x:v>219</x:v>
      </x:c>
      <x:c r="F21" s="30" t="n">
        <x:v>1576.96</x:v>
      </x:c>
    </x:row>
    <x:row r="22" ht="24" customHeight="1">
      <x:c r="A22" s="28" t="n">
        <x:v>999998</x:v>
      </x:c>
      <x:c r="B22" s="18" t="str">
        <x:v>HashSearch</x:v>
      </x:c>
      <x:c r="C22" s="28" t="n">
        <x:v>20260</x:v>
      </x:c>
      <x:c r="D22" s="30" t="n">
        <x:v>1832.96</x:v>
      </x:c>
      <x:c r="E22" s="32" t="n">
        <x:v>254.8</x:v>
      </x:c>
      <x:c r="F22" s="30" t="n">
        <x:v>1822.72</x:v>
      </x:c>
    </x:row>
    <x:row r="23" ht="24" customHeight="1">
      <x:c r="A23" s="28" t="n">
        <x:v>999998</x:v>
      </x:c>
      <x:c r="B23" s="18" t="str">
        <x:v>LinqSearch</x:v>
      </x:c>
      <x:c r="C23" s="28" t="n">
        <x:v>92</x:v>
      </x:c>
      <x:c r="D23" s="30" t="n">
        <x:v>78.87</x:v>
      </x:c>
      <x:c r="E23" s="32" t="n">
        <x:v>11</x:v>
      </x:c>
      <x:c r="F23" s="30" t="n">
        <x:v>78.93</x:v>
      </x:c>
    </x:row>
    <x:row r="24" ht="24" customHeight="1">
      <x:c r="A24" s="28" t="n">
        <x:v>999998</x:v>
      </x:c>
      <x:c r="B24" s="18" t="str">
        <x:v>StringSearch</x:v>
      </x:c>
      <x:c r="C24" s="28" t="n">
        <x:v>0</x:v>
      </x:c>
      <x:c r="D24" s="30" t="n">
        <x:v>0</x:v>
      </x:c>
      <x:c r="E24" s="32" t="n">
        <x:v>0</x:v>
      </x:c>
      <x:c r="F24" s="30" t="n">
        <x:v>0</x:v>
      </x:c>
    </x:row>
    <x:row r="27">
      <x:c r="A27" t="str">
        <x:v>Memory excludes the preloaded input strings. LinqSearch heap includes its lowercased string snapshot.</x:v>
      </x:c>
    </x:row>
    <x:row r="29">
      <x:c r="A29" t="str">
        <x:v>GiB values in README are rounded. MiB conversions: CharSequence 1.54 GiB = 1,576.96 MiB.</x:v>
      </x:c>
    </x:row>
    <x:row r="30">
      <x:c r="A30" t="str">
        <x:v>Hash 1.79 GiB = 1,832.96 MiB initially; 1.78 GiB = 1,822.72 MiB after queries.</x:v>
      </x:c>
    </x:row>
    <x:row r="32">
      <x:c r="A32" t="str">
        <x:v>Source: README.md, Performance &amp; Memory (v1.1, .NET 10).</x:v>
      </x:c>
    </x:row>
    <x:row r="33">
      <x:c r="A33" t="str">
        <x:v>https://github.com/MILL5/FastSearch/blob/main/README.md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285B83"/>
  </x:sheetPr>
  <x:sheetViews>
    <x:sheetView showGridLines="0" workbookViewId="0"/>
  </x:sheetViews>
  <x:sheetFormatPr defaultRowHeight="15"/>
  <x:cols>
    <x:col min="1" max="1" width="12.220000267028809" hidden="0" customWidth="1"/>
    <x:col min="2" max="2" width="20.559999465942383" hidden="0" customWidth="1"/>
    <x:col min="3" max="3" width="13.329999923706055" hidden="0" customWidth="1"/>
    <x:col min="4" max="4" width="13.329999923706055" hidden="0" customWidth="1"/>
    <x:col min="5" max="5" width="13.329999923706055" hidden="0" customWidth="1"/>
    <x:col min="6" max="6" width="13.890000343322754" hidden="0" customWidth="1"/>
    <x:col min="7" max="7" width="14.4399995803833" hidden="0" customWidth="1"/>
    <x:col min="8" max="8" width="20" hidden="0" customWidth="1"/>
  </x:cols>
  <x:sheetData>
    <x:row r="2">
      <x:c r="A2" s="19" t="str">
        <x:v>FastSearch search latency</x:v>
      </x:c>
      <x:c r="B2" s="18"/>
      <x:c r="C2" s="18"/>
      <x:c r="D2" s="18"/>
      <x:c r="E2" s="18"/>
      <x:c r="F2" s="18"/>
      <x:c r="G2" s="18"/>
      <x:c r="H2" s="18"/>
    </x:row>
    <x:row r="3">
      <x:c r="A3" s="20"/>
      <x:c r="B3" s="20"/>
      <x:c r="C3" s="20"/>
      <x:c r="D3" s="20"/>
      <x:c r="E3" s="20"/>
      <x:c r="F3" s="20"/>
      <x:c r="G3" s="20"/>
      <x:c r="H3" s="20"/>
    </x:row>
    <x:row r="4">
      <x:c r="A4" s="21" t="str">
        <x:v>Published v1.1 results, .NET 10. Documentation updated 2026-10-12.</x:v>
      </x:c>
      <x:c r="B4" s="18"/>
      <x:c r="C4" s="18"/>
      <x:c r="D4" s="18"/>
      <x:c r="E4" s="18"/>
      <x:c r="F4" s="18"/>
      <x:c r="G4" s="18"/>
      <x:c r="H4" s="18"/>
    </x:row>
    <x:row r="5">
      <x:c r="A5" s="18"/>
      <x:c r="B5" s="18"/>
      <x:c r="C5" s="18"/>
      <x:c r="D5" s="18"/>
      <x:c r="E5" s="18"/>
      <x:c r="F5" s="18"/>
      <x:c r="G5" s="18"/>
      <x:c r="H5" s="18"/>
    </x:row>
    <x:row r="6" ht="32" customHeight="1">
      <x:c r="A6" s="25" t="str">
        <x:v>Items</x:v>
      </x:c>
      <x:c r="B6" s="25" t="str">
        <x:v>Algorithm</x:v>
      </x:c>
      <x:c r="C6" s="25" t="str">
        <x:v>a (µs)</x:v>
      </x:c>
      <x:c r="D6" s="25" t="str">
        <x:v>12 (µs)</x:v>
      </x:c>
      <x:c r="E6" s="25" t="str">
        <x:v>love (µs)</x:v>
      </x:c>
      <x:c r="F6" s="25" t="str">
        <x:v>phoenix (µs)</x:v>
      </x:c>
      <x:c r="G6" s="25" t="str">
        <x:v>catherine (µs)</x:v>
      </x:c>
      <x:c r="H6" s="25" t="str">
        <x:v>Random average (µs)</x:v>
      </x:c>
    </x:row>
    <x:row r="7" ht="24" customHeight="1">
      <x:c r="A7" s="27" t="n">
        <x:v>10000</x:v>
      </x:c>
      <x:c r="B7" s="26" t="str">
        <x:v>NGramSearch</x:v>
      </x:c>
      <x:c r="C7" s="29" t="n">
        <x:v>15.74</x:v>
      </x:c>
      <x:c r="D7" s="29" t="n">
        <x:v>1.81</x:v>
      </x:c>
      <x:c r="E7" s="29" t="n">
        <x:v>0.19</x:v>
      </x:c>
      <x:c r="F7" s="29" t="n">
        <x:v>0.19</x:v>
      </x:c>
      <x:c r="G7" s="29" t="n">
        <x:v>0.26</x:v>
      </x:c>
      <x:c r="H7" s="29" t="n">
        <x:v>3.76</x:v>
      </x:c>
    </x:row>
    <x:row r="8" ht="24" customHeight="1">
      <x:c r="A8" s="28" t="n">
        <x:v>10000</x:v>
      </x:c>
      <x:c r="B8" s="18" t="str">
        <x:v>SuffixArraySearch</x:v>
      </x:c>
      <x:c r="C8" s="30" t="n">
        <x:v>7.17</x:v>
      </x:c>
      <x:c r="D8" s="30" t="n">
        <x:v>0.92</x:v>
      </x:c>
      <x:c r="E8" s="30" t="n">
        <x:v>0.39</x:v>
      </x:c>
      <x:c r="F8" s="30" t="n">
        <x:v>0.11</x:v>
      </x:c>
      <x:c r="G8" s="30" t="n">
        <x:v>0.09</x:v>
      </x:c>
      <x:c r="H8" s="30" t="n">
        <x:v>6.48</x:v>
      </x:c>
    </x:row>
    <x:row r="9" ht="24" customHeight="1">
      <x:c r="A9" s="28" t="n">
        <x:v>10000</x:v>
      </x:c>
      <x:c r="B9" s="18" t="str">
        <x:v>CharSequenceSearch</x:v>
      </x:c>
      <x:c r="C9" s="30" t="n">
        <x:v>14.18</x:v>
      </x:c>
      <x:c r="D9" s="30" t="n">
        <x:v>1.84</x:v>
      </x:c>
      <x:c r="E9" s="30" t="n">
        <x:v>0.18</x:v>
      </x:c>
      <x:c r="F9" s="30" t="n">
        <x:v>0.07</x:v>
      </x:c>
      <x:c r="G9" s="30" t="n">
        <x:v>0.06</x:v>
      </x:c>
      <x:c r="H9" s="30" t="n">
        <x:v>1.23</x:v>
      </x:c>
    </x:row>
    <x:row r="10" ht="24" customHeight="1">
      <x:c r="A10" s="28" t="n">
        <x:v>10000</x:v>
      </x:c>
      <x:c r="B10" s="18" t="str">
        <x:v>HashSearch</x:v>
      </x:c>
      <x:c r="C10" s="30" t="n">
        <x:v>15.22</x:v>
      </x:c>
      <x:c r="D10" s="30" t="n">
        <x:v>1.71</x:v>
      </x:c>
      <x:c r="E10" s="30" t="n">
        <x:v>0.23</x:v>
      </x:c>
      <x:c r="F10" s="30" t="n">
        <x:v>0.1</x:v>
      </x:c>
      <x:c r="G10" s="30" t="n">
        <x:v>0.08</x:v>
      </x:c>
      <x:c r="H10" s="30" t="n">
        <x:v>0.95</x:v>
      </x:c>
    </x:row>
    <x:row r="11" ht="24" customHeight="1">
      <x:c r="A11" s="28" t="n">
        <x:v>10000</x:v>
      </x:c>
      <x:c r="B11" s="18" t="str">
        <x:v>LinqSearch</x:v>
      </x:c>
      <x:c r="C11" s="30" t="n">
        <x:v>181.4</x:v>
      </x:c>
      <x:c r="D11" s="30" t="n">
        <x:v>90.78</x:v>
      </x:c>
      <x:c r="E11" s="30" t="n">
        <x:v>79.01</x:v>
      </x:c>
      <x:c r="F11" s="30" t="n">
        <x:v>43.45</x:v>
      </x:c>
      <x:c r="G11" s="30" t="n">
        <x:v>24.9</x:v>
      </x:c>
      <x:c r="H11" s="30" t="n">
        <x:v>72.58</x:v>
      </x:c>
    </x:row>
    <x:row r="12" ht="24" customHeight="1">
      <x:c r="A12" s="28" t="n">
        <x:v>10000</x:v>
      </x:c>
      <x:c r="B12" s="18" t="str">
        <x:v>StringSearch</x:v>
      </x:c>
      <x:c r="C12" s="30" t="n">
        <x:v>357.41</x:v>
      </x:c>
      <x:c r="D12" s="30" t="n">
        <x:v>344.37</x:v>
      </x:c>
      <x:c r="E12" s="30" t="n">
        <x:v>368.39</x:v>
      </x:c>
      <x:c r="F12" s="30" t="n">
        <x:v>228.93</x:v>
      </x:c>
      <x:c r="G12" s="30" t="n">
        <x:v>128.67</x:v>
      </x:c>
      <x:c r="H12" s="30" t="n">
        <x:v>317.52</x:v>
      </x:c>
    </x:row>
    <x:row r="13" ht="24" customHeight="1">
      <x:c r="A13" s="27" t="n">
        <x:v>100000</x:v>
      </x:c>
      <x:c r="B13" s="26" t="str">
        <x:v>NGramSearch</x:v>
      </x:c>
      <x:c r="C13" s="29" t="n">
        <x:v>133.86</x:v>
      </x:c>
      <x:c r="D13" s="29" t="n">
        <x:v>28.98</x:v>
      </x:c>
      <x:c r="E13" s="29" t="n">
        <x:v>1.56</x:v>
      </x:c>
      <x:c r="F13" s="29" t="n">
        <x:v>0.37</x:v>
      </x:c>
      <x:c r="G13" s="29" t="n">
        <x:v>0.23</x:v>
      </x:c>
      <x:c r="H13" s="29" t="n">
        <x:v>4.66</x:v>
      </x:c>
    </x:row>
    <x:row r="14" ht="24" customHeight="1">
      <x:c r="A14" s="28" t="n">
        <x:v>100000</x:v>
      </x:c>
      <x:c r="B14" s="18" t="str">
        <x:v>SuffixArraySearch</x:v>
      </x:c>
      <x:c r="C14" s="30" t="n">
        <x:v>57.56</x:v>
      </x:c>
      <x:c r="D14" s="30" t="n">
        <x:v>13.84</x:v>
      </x:c>
      <x:c r="E14" s="30" t="n">
        <x:v>0.73</x:v>
      </x:c>
      <x:c r="F14" s="30" t="n">
        <x:v>0.21</x:v>
      </x:c>
      <x:c r="G14" s="30" t="n">
        <x:v>0.11</x:v>
      </x:c>
      <x:c r="H14" s="30" t="n">
        <x:v>13.16</x:v>
      </x:c>
    </x:row>
    <x:row r="15" ht="24" customHeight="1">
      <x:c r="A15" s="28" t="n">
        <x:v>100000</x:v>
      </x:c>
      <x:c r="B15" s="18" t="str">
        <x:v>CharSequenceSearch</x:v>
      </x:c>
      <x:c r="C15" s="30" t="n">
        <x:v>120.86</x:v>
      </x:c>
      <x:c r="D15" s="30" t="n">
        <x:v>29.48</x:v>
      </x:c>
      <x:c r="E15" s="30" t="n">
        <x:v>1.46</x:v>
      </x:c>
      <x:c r="F15" s="30" t="n">
        <x:v>0.11</x:v>
      </x:c>
      <x:c r="G15" s="30" t="n">
        <x:v>0.06</x:v>
      </x:c>
      <x:c r="H15" s="30" t="n">
        <x:v>1.25</x:v>
      </x:c>
    </x:row>
    <x:row r="16" ht="24" customHeight="1">
      <x:c r="A16" s="28" t="n">
        <x:v>100000</x:v>
      </x:c>
      <x:c r="B16" s="18" t="str">
        <x:v>HashSearch</x:v>
      </x:c>
      <x:c r="C16" s="30" t="n">
        <x:v>115.21</x:v>
      </x:c>
      <x:c r="D16" s="30" t="n">
        <x:v>28.61</x:v>
      </x:c>
      <x:c r="E16" s="30" t="n">
        <x:v>1.4</x:v>
      </x:c>
      <x:c r="F16" s="30" t="n">
        <x:v>0.15</x:v>
      </x:c>
      <x:c r="G16" s="30" t="n">
        <x:v>0.1</x:v>
      </x:c>
      <x:c r="H16" s="30" t="n">
        <x:v>1.38</x:v>
      </x:c>
    </x:row>
    <x:row r="17" ht="24" customHeight="1">
      <x:c r="A17" s="28" t="n">
        <x:v>100000</x:v>
      </x:c>
      <x:c r="B17" s="18" t="str">
        <x:v>LinqSearch</x:v>
      </x:c>
      <x:c r="C17" s="30" t="n">
        <x:v>1300</x:v>
      </x:c>
      <x:c r="D17" s="30" t="n">
        <x:v>553.39</x:v>
      </x:c>
      <x:c r="E17" s="30" t="n">
        <x:v>370.88</x:v>
      </x:c>
      <x:c r="F17" s="30" t="n">
        <x:v>244.97</x:v>
      </x:c>
      <x:c r="G17" s="30" t="n">
        <x:v>130.02</x:v>
      </x:c>
      <x:c r="H17" s="30" t="n">
        <x:v>461.83</x:v>
      </x:c>
    </x:row>
    <x:row r="18" ht="24" customHeight="1">
      <x:c r="A18" s="28" t="n">
        <x:v>100000</x:v>
      </x:c>
      <x:c r="B18" s="18" t="str">
        <x:v>StringSearch</x:v>
      </x:c>
      <x:c r="C18" s="30" t="n">
        <x:v>4200</x:v>
      </x:c>
      <x:c r="D18" s="30" t="n">
        <x:v>4100</x:v>
      </x:c>
      <x:c r="E18" s="30" t="n">
        <x:v>4200</x:v>
      </x:c>
      <x:c r="F18" s="30" t="n">
        <x:v>3500</x:v>
      </x:c>
      <x:c r="G18" s="30" t="n">
        <x:v>2200</x:v>
      </x:c>
      <x:c r="H18" s="30" t="n">
        <x:v>4000</x:v>
      </x:c>
    </x:row>
    <x:row r="19" ht="24" customHeight="1">
      <x:c r="A19" s="27" t="n">
        <x:v>999998</x:v>
      </x:c>
      <x:c r="B19" s="26" t="str">
        <x:v>NGramSearch</x:v>
      </x:c>
      <x:c r="C19" s="29" t="n">
        <x:v>1600</x:v>
      </x:c>
      <x:c r="D19" s="29" t="n">
        <x:v>228.49</x:v>
      </x:c>
      <x:c r="E19" s="29" t="n">
        <x:v>13.69</x:v>
      </x:c>
      <x:c r="F19" s="29" t="n">
        <x:v>1</x:v>
      </x:c>
      <x:c r="G19" s="29" t="n">
        <x:v>0.59</x:v>
      </x:c>
      <x:c r="H19" s="29" t="n">
        <x:v>5.28</x:v>
      </x:c>
    </x:row>
    <x:row r="20" ht="24" customHeight="1">
      <x:c r="A20" s="28" t="n">
        <x:v>999998</x:v>
      </x:c>
      <x:c r="B20" s="18" t="str">
        <x:v>SuffixArraySearch</x:v>
      </x:c>
      <x:c r="C20" s="30" t="n">
        <x:v>699.28</x:v>
      </x:c>
      <x:c r="D20" s="30" t="n">
        <x:v>107.39</x:v>
      </x:c>
      <x:c r="E20" s="30" t="n">
        <x:v>6.23</x:v>
      </x:c>
      <x:c r="F20" s="30" t="n">
        <x:v>3.31</x:v>
      </x:c>
      <x:c r="G20" s="30" t="n">
        <x:v>0.15</x:v>
      </x:c>
      <x:c r="H20" s="30" t="n">
        <x:v>102.87</x:v>
      </x:c>
    </x:row>
    <x:row r="21" ht="24" customHeight="1">
      <x:c r="A21" s="28" t="n">
        <x:v>999998</x:v>
      </x:c>
      <x:c r="B21" s="18" t="str">
        <x:v>CharSequenceSearch</x:v>
      </x:c>
      <x:c r="C21" s="30" t="n">
        <x:v>1500</x:v>
      </x:c>
      <x:c r="D21" s="30" t="n">
        <x:v>227.7</x:v>
      </x:c>
      <x:c r="E21" s="30" t="n">
        <x:v>13.12</x:v>
      </x:c>
      <x:c r="F21" s="30" t="n">
        <x:v>0.26</x:v>
      </x:c>
      <x:c r="G21" s="30" t="n">
        <x:v>0.08</x:v>
      </x:c>
      <x:c r="H21" s="30" t="n">
        <x:v>1.51</x:v>
      </x:c>
    </x:row>
    <x:row r="22" ht="24" customHeight="1">
      <x:c r="A22" s="28" t="n">
        <x:v>999998</x:v>
      </x:c>
      <x:c r="B22" s="18" t="str">
        <x:v>HashSearch</x:v>
      </x:c>
      <x:c r="C22" s="30" t="n">
        <x:v>1500</x:v>
      </x:c>
      <x:c r="D22" s="30" t="n">
        <x:v>244.83</x:v>
      </x:c>
      <x:c r="E22" s="30" t="n">
        <x:v>14.92</x:v>
      </x:c>
      <x:c r="F22" s="30" t="n">
        <x:v>0.31</x:v>
      </x:c>
      <x:c r="G22" s="30" t="n">
        <x:v>0.13</x:v>
      </x:c>
      <x:c r="H22" s="30" t="n">
        <x:v>2.22</x:v>
      </x:c>
    </x:row>
    <x:row r="23" ht="24" customHeight="1">
      <x:c r="A23" s="28" t="n">
        <x:v>999998</x:v>
      </x:c>
      <x:c r="B23" s="18" t="str">
        <x:v>LinqSearch</x:v>
      </x:c>
      <x:c r="C23" s="30" t="n">
        <x:v>12300</x:v>
      </x:c>
      <x:c r="D23" s="30" t="n">
        <x:v>4900</x:v>
      </x:c>
      <x:c r="E23" s="30" t="n">
        <x:v>3200</x:v>
      </x:c>
      <x:c r="F23" s="30" t="n">
        <x:v>2600</x:v>
      </x:c>
      <x:c r="G23" s="30" t="n">
        <x:v>1800</x:v>
      </x:c>
      <x:c r="H23" s="30" t="n">
        <x:v>4000</x:v>
      </x:c>
    </x:row>
    <x:row r="24" ht="24" customHeight="1">
      <x:c r="A24" s="28" t="n">
        <x:v>999998</x:v>
      </x:c>
      <x:c r="B24" s="18" t="str">
        <x:v>StringSearch</x:v>
      </x:c>
      <x:c r="C24" s="30" t="n">
        <x:v>37600</x:v>
      </x:c>
      <x:c r="D24" s="30" t="n">
        <x:v>37200</x:v>
      </x:c>
      <x:c r="E24" s="30" t="n">
        <x:v>35500</x:v>
      </x:c>
      <x:c r="F24" s="30" t="n">
        <x:v>29800</x:v>
      </x:c>
      <x:c r="G24" s="30" t="n">
        <x:v>20200</x:v>
      </x:c>
      <x:c r="H24" s="30" t="n">
        <x:v>36700</x:v>
      </x:c>
    </x:row>
    <x:row r="27">
      <x:c r="A27" t="str">
        <x:v>Named queries include enumerating every result. Random queries time the Search call only.</x:v>
      </x:c>
    </x:row>
    <x:row r="29">
      <x:c r="A29" t="str">
        <x:v>Named queries: 2,000 warm calls, or 20 for scan algorithms. Random: 1,000 cold substrings of 1–8 characters.</x:v>
      </x:c>
    </x:row>
    <x:row r="31">
      <x:c r="A31" t="str">
        <x:v>Each measurement runs in its own process. LinqSearch uses parallel LINQ.</x:v>
      </x:c>
    </x:row>
    <x:row r="33">
      <x:c r="A33" t="str">
        <x:v>Source: README.md, Search latency. All values above are microseconds (1 ms = 1,000 µs).</x:v>
      </x:c>
    </x:row>
    <x:row r="34">
      <x:c r="A34" t="str">
        <x:v>https://github.com/MILL5/FastSearch/blob/main/README.md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285B83"/>
  </x:sheetPr>
  <x:sheetViews>
    <x:sheetView showGridLines="0" workbookViewId="0"/>
  </x:sheetViews>
  <x:sheetFormatPr defaultRowHeight="15"/>
  <x:cols>
    <x:col min="1" max="1" width="20.559999465942383" hidden="0" customWidth="1"/>
    <x:col min="2" max="2" width="41.11000061035156" hidden="0" customWidth="1"/>
    <x:col min="3" max="3" width="61.11000061035156" hidden="0" customWidth="1"/>
  </x:cols>
  <x:sheetData>
    <x:row r="2">
      <x:c r="A2" s="19" t="str">
        <x:v>FastSearch algorithms and methodology</x:v>
      </x:c>
      <x:c r="B2" s="18"/>
      <x:c r="C2" s="18"/>
    </x:row>
    <x:row r="3">
      <x:c r="A3" s="20"/>
      <x:c r="B3" s="20"/>
      <x:c r="C3" s="20"/>
    </x:row>
    <x:row r="4">
      <x:c r="A4" s="21" t="str">
        <x:v>Published v1.1 results, .NET 10. Documentation updated 2026-10-12.</x:v>
      </x:c>
      <x:c r="B4" s="18"/>
      <x:c r="C4" s="18"/>
    </x:row>
    <x:row r="5">
      <x:c r="A5" s="18"/>
      <x:c r="B5" s="18"/>
      <x:c r="C5" s="18"/>
    </x:row>
    <x:row r="6" ht="32" customHeight="1">
      <x:c r="A6" s="25" t="str">
        <x:v>Algorithm</x:v>
      </x:c>
      <x:c r="B6" s="25" t="str">
        <x:v>Approach</x:v>
      </x:c>
      <x:c r="C6" s="25" t="str">
        <x:v>Use and tradeoff</x:v>
      </x:c>
    </x:row>
    <x:row r="7" ht="44" customHeight="1">
      <x:c r="A7" s="33" t="str">
        <x:v>NGramSearch</x:v>
      </x:c>
      <x:c r="B7" s="33" t="str">
        <x:v>Compressed n-gram posting lists, candidate verification</x:v>
      </x:c>
      <x:c r="C7" s="33" t="str">
        <x:v>Recommended general choice. Small index, fast build. No result cache.</x:v>
      </x:c>
    </x:row>
    <x:row r="8" ht="44" customHeight="1">
      <x:c r="A8" s="34" t="str">
        <x:v>SuffixArraySearch</x:v>
      </x:c>
      <x:c r="B8" s="34" t="str">
        <x:v>Generalized suffix array and 1/2/3-character prefix table</x:v>
      </x:c>
      <x:c r="C8" s="34" t="str">
        <x:v>Fast warm enumeration of broad results. Broad-result caching grows heap.</x:v>
      </x:c>
    </x:row>
    <x:row r="9" ht="44" customHeight="1">
      <x:c r="A9" s="34" t="str">
        <x:v>CharSequenceSearch</x:v>
      </x:c>
      <x:c r="B9" s="34" t="str">
        <x:v>Suffix trie with precomputed result lists</x:v>
      </x:c>
      <x:c r="C9" s="34" t="str">
        <x:v>Very low narrow-query latency. High memory use, especially for long strings.</x:v>
      </x:c>
    </x:row>
    <x:row r="10" ht="44" customHeight="1">
      <x:c r="A10" s="34" t="str">
        <x:v>HashSearch</x:v>
      </x:c>
      <x:c r="B10" s="34" t="str">
        <x:v>Hash lookup for precomputed substrings</x:v>
      </x:c>
      <x:c r="C10" s="34" t="str">
        <x:v>Fast narrow queries. Highest index memory in the published measurements.</x:v>
      </x:c>
    </x:row>
    <x:row r="11" ht="44" customHeight="1">
      <x:c r="A11" s="34" t="str">
        <x:v>LinqSearch</x:v>
      </x:c>
      <x:c r="B11" s="34" t="str">
        <x:v>Parallel LINQ scan over lowercased string copies</x:v>
      </x:c>
      <x:c r="C11" s="34" t="str">
        <x:v>No substring index. Snapshot consumes heap and each query scans the data.</x:v>
      </x:c>
    </x:row>
    <x:row r="12" ht="44" customHeight="1">
      <x:c r="A12" s="34" t="str">
        <x:v>StringSearch</x:v>
      </x:c>
      <x:c r="B12" s="34" t="str">
        <x:v>Contains scan over the retained enumerable</x:v>
      </x:c>
      <x:c r="C12" s="34" t="str">
        <x:v>Simple baseline. Scans the source on each Search call. Slow at large sizes.</x:v>
      </x:c>
    </x:row>
    <x:row r="15">
      <x:c r="A15" s="36" t="str">
        <x:v>Methodology</x:v>
      </x:c>
      <x:c r="B15" s="36" t="str">
        <x:v>Definition</x:v>
      </x:c>
      <x:c r="C15" s="36"/>
    </x:row>
    <x:row r="16" ht="40" customHeight="1">
      <x:c r="A16" s="18" t="str">
        <x:v>Index refresh</x:v>
      </x:c>
      <x:c r="B16" s="34" t="str">
        <x:v>Rebuild indexed/snapshot algorithms when the collection or indexed fields change.</x:v>
      </x:c>
      <x:c r="C16" s="39"/>
    </x:row>
    <x:row r="17" ht="40" customHeight="1">
      <x:c r="A17" s="18" t="str">
        <x:v>Result guarantees</x:v>
      </x:c>
      <x:c r="B17" s="34" t="str">
        <x:v>NGramSearch and SuffixArraySearch return input-order, duplicate-free read-only results.</x:v>
      </x:c>
      <x:c r="C17" s="39"/>
    </x:row>
    <x:row r="18" ht="40" customHeight="1">
      <x:c r="A18" s="18" t="str">
        <x:v>Other implementations</x:v>
      </x:c>
      <x:c r="B18" s="34" t="str">
        <x:v>Result order and duplicate behavior vary. StringSearch is the consistency-test oracle for matches.</x:v>
      </x:c>
      <x:c r="C18" s="39"/>
    </x:row>
    <x:row r="19" ht="40" customHeight="1">
      <x:c r="A19" s="18" t="str">
        <x:v>Dataset</x:v>
      </x:c>
      <x:c r="B19" s="34" t="str">
        <x:v>First N entries of the bundled password list. Sizes: 10,000, 100,000 and 999,998.</x:v>
      </x:c>
      <x:c r="C19" s="39"/>
    </x:row>
    <x:row r="20" ht="40" customHeight="1">
      <x:c r="A20" s="18" t="str">
        <x:v>Dataset length</x:v>
      </x:c>
      <x:c r="B20" s="34" t="str">
        <x:v>The README reports average string length of 7.5 characters.</x:v>
      </x:c>
      <x:c r="C20" s="39"/>
    </x:row>
    <x:row r="21" ht="40" customHeight="1">
      <x:c r="A21" s="18" t="str">
        <x:v>Machine</x:v>
      </x:c>
      <x:c r="B21" s="34" t="str">
        <x:v>Apple-silicon Mac, .NET 10.0, workstation GC.</x:v>
      </x:c>
      <x:c r="C21" s="39"/>
    </x:row>
    <x:row r="22" ht="40" customHeight="1">
      <x:c r="A22" s="18" t="str">
        <x:v>Heap method</x:v>
      </x:c>
      <x:c r="B22" s="34" t="str">
        <x:v>GC.GetTotalMemory(true) after build minus before, with source strings already loaded.</x:v>
      </x:c>
      <x:c r="C22" s="39"/>
    </x:row>
    <x:row r="23" ht="40" customHeight="1">
      <x:c r="A23" s="18" t="str">
        <x:v>After-query heap</x:v>
      </x:c>
      <x:c r="B23" s="34" t="str">
        <x:v>Measured after named-query and 1,000-random-query workloads. SuffixArraySearch includes cached result arrays.</x:v>
      </x:c>
      <x:c r="C23" s="39"/>
    </x:row>
    <x:row r="24" ht="40" customHeight="1">
      <x:c r="A24" s="18" t="str">
        <x:v>Cache limit</x:v>
      </x:c>
      <x:c r="B24" s="34" t="str">
        <x:v>SuffixArraySearch caps its cache at one reference per indexed character. NGramSearch has no cache.</x:v>
      </x:c>
      <x:c r="C24" s="39"/>
    </x:row>
    <x:row r="25" ht="40" customHeight="1">
      <x:c r="A25" s="18" t="str">
        <x:v>Warm-query latency</x:v>
      </x:c>
      <x:c r="B25" s="34" t="str">
        <x:v>Named queries enumerate all matches. Averaged over 2,000 calls (20 for scan algorithms).</x:v>
      </x:c>
      <x:c r="C25" s="39"/>
    </x:row>
    <x:row r="26" ht="40" customHeight="1">
      <x:c r="A26" s="18" t="str">
        <x:v>Cold-query latency</x:v>
      </x:c>
      <x:c r="B26" s="34" t="str">
        <x:v>Average of 1,000 random substrings of 1–8 characters. Times Search only.</x:v>
      </x:c>
      <x:c r="C26" s="39"/>
    </x:row>
    <x:row r="27" ht="40" customHeight="1">
      <x:c r="A27" s="18" t="str">
        <x:v>Process and JIT</x:v>
      </x:c>
      <x:c r="B27" s="34" t="str">
        <x:v>One algorithm per process. DOTNET_TieredCompilation=0 produces fully optimized code.</x:v>
      </x:c>
      <x:c r="C27" s="39"/>
    </x:row>
    <x:row r="28" ht="40" customHeight="1">
      <x:c r="A28" s="18" t="str">
        <x:v>Concurrency</x:v>
      </x:c>
      <x:c r="B28" s="34" t="str">
        <x:v>LinqSearch searches with PLINQ. CharSequenceSearch and HashSearch parallelize indexing.</x:v>
      </x:c>
      <x:c r="C28" s="39"/>
    </x:row>
    <x:row r="29" ht="40" customHeight="1">
      <x:c r="A29" s="18" t="str">
        <x:v>Refresh measurements</x:v>
      </x:c>
      <x:c r="B29" s="34" t="str">
        <x:v>cd PasswordSearch.Benchmark; DOTNET_TieredCompilation=0 dotnet run -c Release -- heap &lt;algorithm&gt; &lt;items&gt;</x:v>
      </x:c>
      <x:c r="C29" s="39"/>
    </x:row>
    <x:row r="30" ht="40" customHeight="1">
      <x:c r="A30" s="18" t="str">
        <x:v>Harness names</x:v>
      </x:c>
      <x:c r="B30" s="34" t="str">
        <x:v>string, linq, hash, charseq, suffixarray, ngram</x:v>
      </x:c>
      <x:c r="C30" s="39"/>
    </x:row>
    <x:row r="31" ht="40" customHeight="1">
      <x:c r="A31" s="18" t="str">
        <x:v>Historical sheets</x:v>
      </x:c>
      <x:c r="B31" s="34" t="str">
        <x:v>Existing sheets retain earlier benchmarks and native charts. They are historical, with different methods.</x:v>
      </x:c>
      <x:c r="C31" s="39"/>
    </x:row>
    <x:row r="32" ht="40" customHeight="1">
      <x:c r="A32" s="18" t="str">
        <x:v>Benchmark date</x:v>
      </x:c>
      <x:c r="B32" s="34" t="str">
        <x:v>No new measurements were run. Original measurement date is not recorded in README.</x:v>
      </x:c>
      <x:c r="C32" s="39"/>
    </x:row>
    <x:row r="33" ht="40" customHeight="1">
      <x:c r="A33" s="18" t="str">
        <x:v>Source</x:v>
      </x:c>
      <x:c r="B33" s="34" t="str">
        <x:v>README.md, Performance &amp; Memory (v1.1, .NET 10). https://github.com/MILL5/FastSearch/blob/main/README.md</x:v>
      </x:c>
      <x:c r="C33" s="39"/>
    </x:row>
  </x:sheetData>
  <x:mergeCells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B24:C24"/>
    <x:mergeCell ref="B25:C25"/>
    <x:mergeCell ref="B26:C26"/>
    <x:mergeCell ref="B27:C27"/>
    <x:mergeCell ref="B28:C28"/>
    <x:mergeCell ref="B29:C29"/>
    <x:mergeCell ref="B30:C30"/>
    <x:mergeCell ref="B31:C31"/>
    <x:mergeCell ref="B32:C32"/>
    <x:mergeCell ref="B33:C33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</vt:lpstr>
      <vt:lpstr>Search</vt:lpstr>
      <vt:lpstr>Speed</vt:lpstr>
      <vt:lpstr>Optimizations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Crane</dc:creator>
  <cp:lastModifiedBy>Richard Crane</cp:lastModifiedBy>
  <dcterms:created xsi:type="dcterms:W3CDTF">2021-08-02T02:18:39Z</dcterms:created>
  <dcterms:modified xsi:type="dcterms:W3CDTF">2021-08-02T04:50:47Z</dcterms:modified>
</cp:coreProperties>
</file>